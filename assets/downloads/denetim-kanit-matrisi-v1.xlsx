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Matris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'Matris'!$A$1:$I$4</definedName>
    <definedName name="_xlnm._FilterDatabase" localSheetId="2" hidden="1">'Özet'!$A$1:$B$6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Denetim Kanıt Matrisi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Matris sayfasında gereklilikleri süreç, sorumlu ve gerçek kayıtlarla eşleştirin. Durumu seçin; özet formülleri açık kanıtları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4" customWidth="1" min="2" max="2"/>
    <col width="23" customWidth="1" min="3" max="3"/>
    <col width="22" customWidth="1" min="4" max="4"/>
    <col width="36" customWidth="1" min="5" max="5"/>
    <col width="18" customWidth="1" min="6" max="6"/>
    <col width="16" customWidth="1" min="7" max="7"/>
    <col width="34" customWidth="1" min="8" max="8"/>
    <col width="14" customWidth="1" min="9" max="9"/>
  </cols>
  <sheetData>
    <row r="1" ht="34" customHeight="1">
      <c r="A1" s="4" t="inlineStr">
        <is>
          <t>Madde / şart</t>
        </is>
      </c>
      <c r="B1" s="4" t="inlineStr">
        <is>
          <t>Gereklilik</t>
        </is>
      </c>
      <c r="C1" s="4" t="inlineStr">
        <is>
          <t>Süreç</t>
        </is>
      </c>
      <c r="D1" s="4" t="inlineStr">
        <is>
          <t>Sorumlu</t>
        </is>
      </c>
      <c r="E1" s="4" t="inlineStr">
        <is>
          <t>Kanıt / kayıt</t>
        </is>
      </c>
      <c r="F1" s="4" t="inlineStr">
        <is>
          <t>Revizyon / dönem</t>
        </is>
      </c>
      <c r="G1" s="4" t="inlineStr">
        <is>
          <t>Durum</t>
        </is>
      </c>
      <c r="H1" s="4" t="inlineStr">
        <is>
          <t>Aksiyon</t>
        </is>
      </c>
      <c r="I1" s="4" t="inlineStr">
        <is>
          <t>Termin</t>
        </is>
      </c>
    </row>
    <row r="2">
      <c r="A2" s="5" t="inlineStr">
        <is>
          <t>ISO 9001 6.1</t>
        </is>
      </c>
      <c r="B2" s="5" t="inlineStr">
        <is>
          <t>Risk ve fırsatlar</t>
        </is>
      </c>
      <c r="C2" s="5" t="inlineStr">
        <is>
          <t>Stratejik planlama</t>
        </is>
      </c>
      <c r="D2" s="5" t="inlineStr">
        <is>
          <t>Kalite yöneticisi</t>
        </is>
      </c>
      <c r="E2" s="5" t="inlineStr">
        <is>
          <t>Risk kaydı 2026</t>
        </is>
      </c>
      <c r="F2" s="5" t="inlineStr">
        <is>
          <t>2026-Q3</t>
        </is>
      </c>
      <c r="G2" s="5" t="inlineStr">
        <is>
          <t>Kısmen</t>
        </is>
      </c>
      <c r="H2" s="5" t="inlineStr">
        <is>
          <t>Geciken aksiyonları kapat</t>
        </is>
      </c>
      <c r="I2" s="5" t="inlineStr"/>
    </row>
    <row r="3">
      <c r="A3" s="5" t="inlineStr">
        <is>
          <t>ISO 45001 8.1</t>
        </is>
      </c>
      <c r="B3" s="5" t="inlineStr">
        <is>
          <t>Operasyonel kontrol</t>
        </is>
      </c>
      <c r="C3" s="5" t="inlineStr">
        <is>
          <t>Bakım</t>
        </is>
      </c>
      <c r="D3" s="5" t="inlineStr">
        <is>
          <t>Bakım yöneticisi</t>
        </is>
      </c>
      <c r="E3" s="5" t="inlineStr">
        <is>
          <t>LOTO-PR-02 ve kartlar</t>
        </is>
      </c>
      <c r="F3" s="5" t="inlineStr">
        <is>
          <t>Rev.1</t>
        </is>
      </c>
      <c r="G3" s="5" t="inlineStr">
        <is>
          <t>Açık</t>
        </is>
      </c>
      <c r="H3" s="5" t="inlineStr">
        <is>
          <t>Ekipman kapsamını doğrula</t>
        </is>
      </c>
      <c r="I3" s="5" t="inlineStr"/>
    </row>
    <row r="4">
      <c r="A4" s="5" t="inlineStr">
        <is>
          <t>ISO 14001 9.1</t>
        </is>
      </c>
      <c r="B4" s="5" t="inlineStr">
        <is>
          <t>İzleme ve ölçme</t>
        </is>
      </c>
      <c r="C4" s="5" t="inlineStr">
        <is>
          <t>Çevre</t>
        </is>
      </c>
      <c r="D4" s="5" t="inlineStr">
        <is>
          <t>Çevre sorumlusu</t>
        </is>
      </c>
      <c r="E4" s="5" t="inlineStr">
        <is>
          <t>Atık ve emisyon kayıtları</t>
        </is>
      </c>
      <c r="F4" s="5" t="inlineStr">
        <is>
          <t>2026-Q2</t>
        </is>
      </c>
      <c r="G4" s="5" t="inlineStr">
        <is>
          <t>Tam</t>
        </is>
      </c>
      <c r="H4" s="5" t="inlineStr"/>
      <c r="I4" s="5" t="inlineStr"/>
    </row>
  </sheetData>
  <autoFilter ref="A1:I4"/>
  <dataValidations count="1">
    <dataValidation sqref="G2:G200" showDropDown="0" showInputMessage="0" showErrorMessage="0" allowBlank="0" type="list">
      <formula1>"Açık,Kısmen,Tam,Kapsam dışı"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Dolu kayıt</t>
        </is>
      </c>
      <c r="B2" s="6">
        <f>COUNTA(Matris!A2:A200)</f>
        <v/>
      </c>
    </row>
    <row r="3">
      <c r="A3" s="5" t="inlineStr">
        <is>
          <t>Tam</t>
        </is>
      </c>
      <c r="B3" s="6">
        <f>COUNTIF(Matris!G2:G200,"Tam")</f>
        <v/>
      </c>
    </row>
    <row r="4">
      <c r="A4" s="5" t="inlineStr">
        <is>
          <t>Açık</t>
        </is>
      </c>
      <c r="B4" s="6">
        <f>COUNTIF(Matris!G2:G200,"Açık")</f>
        <v/>
      </c>
    </row>
    <row r="5">
      <c r="A5" s="5" t="inlineStr">
        <is>
          <t>Kısmen</t>
        </is>
      </c>
      <c r="B5" s="6">
        <f>COUNTIF(Matris!G2:G200,"Kısmen")</f>
        <v/>
      </c>
    </row>
    <row r="6">
      <c r="A6" s="5" t="inlineStr">
        <is>
          <t>Tamamlanma</t>
        </is>
      </c>
      <c r="B6" s="7">
        <f>IFERROR(B3/B2,0)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